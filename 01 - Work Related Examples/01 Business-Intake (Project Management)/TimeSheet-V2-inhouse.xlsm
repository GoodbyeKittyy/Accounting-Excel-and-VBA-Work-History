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13_ncr:1_{1586002C-9FBC-45CA-942F-8FAF5802C734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MyRRS" sheetId="1" r:id="rId1"/>
    <sheet name="WorkItem_Tasks" sheetId="2" r:id="rId2"/>
  </sheets>
  <definedNames>
    <definedName name="_xlnm._FilterDatabase" localSheetId="1" hidden="1">WorkItem_Tasks!$F$2:$M$4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K24" i="1"/>
  <c r="K25" i="1" s="1"/>
  <c r="J24" i="1"/>
  <c r="J25" i="1" s="1"/>
  <c r="I24" i="1"/>
  <c r="I25" i="1" s="1"/>
  <c r="H24" i="1"/>
  <c r="H25" i="1" s="1"/>
  <c r="G24" i="1"/>
  <c r="G25" i="1" s="1"/>
  <c r="F24" i="1"/>
  <c r="F25" i="1" s="1"/>
  <c r="E24" i="1"/>
  <c r="E25" i="1" s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E16" i="2" a="1"/>
  <c r="E16" i="2" l="1"/>
  <c r="L24" i="1"/>
  <c r="B27" i="1" s="1"/>
  <c r="C27" i="1" s="1"/>
  <c r="E17" i="2" a="1"/>
  <c r="E17" i="2" l="1"/>
  <c r="E18" i="2" a="1"/>
  <c r="E18" i="2" l="1"/>
  <c r="E19" i="2" a="1"/>
  <c r="E19" i="2" l="1"/>
  <c r="E20" i="2" a="1"/>
  <c r="E20" i="2"/>
  <c r="E21" i="2" a="1"/>
  <c r="E21" i="2" l="1"/>
  <c r="E22" i="2" a="1"/>
  <c r="E22" i="2"/>
  <c r="E23" i="2" a="1"/>
  <c r="E23" i="2"/>
  <c r="E24" i="2" a="1"/>
  <c r="E24" i="2"/>
  <c r="E25" i="2" a="1"/>
  <c r="E25" i="2"/>
  <c r="E26" i="2" a="1"/>
  <c r="E26" i="2"/>
  <c r="E27" i="2" a="1"/>
  <c r="E27" i="2"/>
  <c r="E28" i="2" a="1"/>
  <c r="E28" i="2"/>
  <c r="E29" i="2" a="1"/>
  <c r="E29" i="2"/>
  <c r="E30" i="2" a="1"/>
  <c r="E30" i="2"/>
  <c r="E31" i="2" a="1"/>
  <c r="E31" i="2"/>
</calcChain>
</file>

<file path=xl/sharedStrings.xml><?xml version="1.0" encoding="utf-8"?>
<sst xmlns="http://schemas.openxmlformats.org/spreadsheetml/2006/main" count="91" uniqueCount="62">
  <si>
    <t>Sat</t>
  </si>
  <si>
    <t>Sun</t>
  </si>
  <si>
    <t>Mon</t>
  </si>
  <si>
    <t>Tues</t>
  </si>
  <si>
    <t>Wed</t>
  </si>
  <si>
    <t>Thurs</t>
  </si>
  <si>
    <t>Fri</t>
  </si>
  <si>
    <t>Total</t>
  </si>
  <si>
    <t>Name</t>
  </si>
  <si>
    <t>Date</t>
  </si>
  <si>
    <t xml:space="preserve">Project Application </t>
  </si>
  <si>
    <t>Sub-Activity</t>
  </si>
  <si>
    <t xml:space="preserve">Activity </t>
  </si>
  <si>
    <t>Team</t>
  </si>
  <si>
    <t xml:space="preserve">Comment </t>
  </si>
  <si>
    <t>Your Manager:</t>
  </si>
  <si>
    <t>I'm writing here to test how this would be saved in  XML file</t>
  </si>
  <si>
    <t>Yes - all projects and apps</t>
  </si>
  <si>
    <t>Yes - all apps</t>
  </si>
  <si>
    <t>Project Application</t>
  </si>
  <si>
    <t>Activity</t>
  </si>
  <si>
    <t>Condition:</t>
  </si>
  <si>
    <t>Manager-01</t>
  </si>
  <si>
    <t>Managers</t>
  </si>
  <si>
    <t>Manager-02</t>
  </si>
  <si>
    <t>Manager-03</t>
  </si>
  <si>
    <t>Manager-04</t>
  </si>
  <si>
    <t>Manager-05</t>
  </si>
  <si>
    <t>Manager-06</t>
  </si>
  <si>
    <t>Manager-07</t>
  </si>
  <si>
    <t>Manager-08</t>
  </si>
  <si>
    <t>Manager-09</t>
  </si>
  <si>
    <t>Manager-10</t>
  </si>
  <si>
    <t>Manager-11</t>
  </si>
  <si>
    <t>Manager-12</t>
  </si>
  <si>
    <t>Teams:</t>
  </si>
  <si>
    <t>Team-01</t>
  </si>
  <si>
    <t>Team-02</t>
  </si>
  <si>
    <t>Team-03</t>
  </si>
  <si>
    <t>Team-04</t>
  </si>
  <si>
    <t>Team-05</t>
  </si>
  <si>
    <t>Team-06</t>
  </si>
  <si>
    <t>Team-07</t>
  </si>
  <si>
    <t>Team-08</t>
  </si>
  <si>
    <t>NA</t>
  </si>
  <si>
    <t>Activity - 10</t>
  </si>
  <si>
    <t>Activity - 6</t>
  </si>
  <si>
    <t>Activity - 2</t>
  </si>
  <si>
    <t>Activity - 7</t>
  </si>
  <si>
    <t>Activity - 1</t>
  </si>
  <si>
    <t>Activity - 3</t>
  </si>
  <si>
    <t>Activity - 4</t>
  </si>
  <si>
    <t>Activity - 8</t>
  </si>
  <si>
    <t>Activity - 5</t>
  </si>
  <si>
    <t>Sub-Activity-7</t>
  </si>
  <si>
    <t>Sub-Activity-4</t>
  </si>
  <si>
    <t>Sub-Activity-9</t>
  </si>
  <si>
    <t>Sub-Activity-1</t>
  </si>
  <si>
    <t>Sub-Activity-8</t>
  </si>
  <si>
    <t>Sub-Activity-5</t>
  </si>
  <si>
    <t>Sub-Activity-2</t>
  </si>
  <si>
    <t>Sub-Activity-6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</si>
</sst>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Font="1" applyBorder="1" applyAlignment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2" fontId="0" fillId="2" borderId="2" xfId="0" applyNumberFormat="1" applyFill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0" fillId="0" borderId="2" xfId="0" applyBorder="1"/>
    <xf numFmtId="0" fontId="0" fillId="4" borderId="2" xfId="0" applyFill="1" applyBorder="1"/>
    <xf numFmtId="0" fontId="0" fillId="6" borderId="2" xfId="0" applyFill="1" applyBorder="1" applyAlignment="1" applyProtection="1">
      <alignment horizontal="left" vertical="center"/>
      <protection locked="0"/>
    </xf>
    <xf numFmtId="0" fontId="0" fillId="7" borderId="2" xfId="0" applyFill="1" applyBorder="1" applyAlignment="1">
      <alignment horizontal="center" vertical="center"/>
    </xf>
    <xf numFmtId="0" fontId="2" fillId="0" borderId="0" xfId="0" applyFont="1"/>
    <xf numFmtId="0" fontId="4" fillId="5" borderId="0" xfId="0" applyFont="1" applyFill="1"/>
    <xf numFmtId="0" fontId="1" fillId="8" borderId="0" xfId="0" applyFont="1" applyFill="1"/>
    <xf numFmtId="0" fontId="0" fillId="0" borderId="0" xfId="0" applyAlignment="1">
      <alignment horizontal="right"/>
    </xf>
    <xf numFmtId="2" fontId="2" fillId="0" borderId="7" xfId="0" applyNumberFormat="1" applyFont="1" applyBorder="1"/>
    <xf numFmtId="2" fontId="2" fillId="0" borderId="1" xfId="0" applyNumberFormat="1" applyFont="1" applyBorder="1" applyAlignment="1">
      <alignment horizontal="center" vertical="center"/>
    </xf>
    <xf numFmtId="0" fontId="0" fillId="10" borderId="0" xfId="0" applyFill="1"/>
    <xf numFmtId="0" fontId="0" fillId="0" borderId="21" xfId="0" applyBorder="1"/>
    <xf numFmtId="0" fontId="0" fillId="9" borderId="4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2" fillId="0" borderId="4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64" fontId="0" fillId="0" borderId="2" xfId="0" applyNumberFormat="1" applyBorder="1" applyAlignment="1">
      <alignment horizontal="center" vertical="top"/>
    </xf>
    <xf numFmtId="0" fontId="2" fillId="0" borderId="2" xfId="0" applyFont="1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2" xfId="0" applyFont="1" applyBorder="1"/>
    <xf numFmtId="0" fontId="0" fillId="0" borderId="0" xfId="0" quotePrefix="1"/>
    <xf numFmtId="0" fontId="2" fillId="0" borderId="22" xfId="0" applyFont="1" applyBorder="1" applyAlignment="1">
      <alignment horizontal="center"/>
    </xf>
    <xf numFmtId="0" fontId="2" fillId="0" borderId="2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25</xdr:row>
          <xdr:rowOff>28575</xdr:rowOff>
        </xdr:from>
        <xdr:to>
          <xdr:col>7</xdr:col>
          <xdr:colOff>0</xdr:colOff>
          <xdr:row>27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my hours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8"/>
  <sheetViews>
    <sheetView showGridLines="0" tabSelected="1" topLeftCell="A8" zoomScale="90" zoomScaleNormal="90" workbookViewId="0">
      <selection activeCell="C48" sqref="C48"/>
    </sheetView>
  </sheetViews>
  <sheetFormatPr defaultRowHeight="15" x14ac:dyDescent="0.25"/>
  <cols>
    <col min="1" max="1" width="10.28515625" bestFit="1" customWidth="1"/>
    <col min="2" max="2" width="15.28515625" bestFit="1" customWidth="1"/>
    <col min="3" max="3" width="34.85546875" bestFit="1" customWidth="1"/>
    <col min="4" max="4" width="19.140625" bestFit="1" customWidth="1"/>
    <col min="5" max="11" width="11.7109375" bestFit="1" customWidth="1"/>
    <col min="13" max="13" width="9.7109375" bestFit="1" customWidth="1"/>
  </cols>
  <sheetData>
    <row r="1" spans="1:21" ht="15.75" thickBot="1" x14ac:dyDescent="0.3">
      <c r="A1" s="20" t="s">
        <v>8</v>
      </c>
      <c r="B1" s="32"/>
      <c r="C1" s="33"/>
      <c r="D1" s="34"/>
      <c r="E1" s="19"/>
      <c r="F1" s="36" t="s">
        <v>9</v>
      </c>
      <c r="G1" s="36"/>
      <c r="H1" s="36"/>
      <c r="I1" s="36"/>
      <c r="J1" s="36"/>
      <c r="K1" s="36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5.75" thickBot="1" x14ac:dyDescent="0.3">
      <c r="A2" s="19"/>
      <c r="B2" s="19"/>
      <c r="C2" s="19"/>
      <c r="D2" s="19"/>
      <c r="E2" s="19"/>
      <c r="F2" s="35">
        <v>43150</v>
      </c>
      <c r="G2" s="35"/>
      <c r="H2" s="35"/>
      <c r="I2" s="35">
        <f>F2+DAY(6)</f>
        <v>43156</v>
      </c>
      <c r="J2" s="35"/>
      <c r="K2" s="35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x14ac:dyDescent="0.25">
      <c r="A3" s="6" t="s">
        <v>13</v>
      </c>
      <c r="B3" s="7" t="s">
        <v>12</v>
      </c>
      <c r="C3" s="7" t="s">
        <v>11</v>
      </c>
      <c r="D3" s="8" t="s">
        <v>10</v>
      </c>
      <c r="E3" s="1" t="s">
        <v>0</v>
      </c>
      <c r="F3" s="1" t="s">
        <v>1</v>
      </c>
      <c r="G3" s="1" t="s">
        <v>2</v>
      </c>
      <c r="H3" s="1" t="s">
        <v>3</v>
      </c>
      <c r="I3" s="1" t="s">
        <v>4</v>
      </c>
      <c r="J3" s="1" t="s">
        <v>5</v>
      </c>
      <c r="K3" s="1" t="s">
        <v>6</v>
      </c>
      <c r="L3" s="1" t="s">
        <v>7</v>
      </c>
      <c r="M3" s="19"/>
      <c r="N3" s="19"/>
      <c r="O3" s="19"/>
      <c r="P3" s="19"/>
      <c r="Q3" s="19"/>
      <c r="R3" s="19"/>
      <c r="S3" s="19"/>
      <c r="T3" s="19"/>
      <c r="U3" s="19"/>
    </row>
    <row r="4" spans="1:21" x14ac:dyDescent="0.25">
      <c r="A4" s="10" t="s">
        <v>39</v>
      </c>
      <c r="B4" s="11" t="s">
        <v>46</v>
      </c>
      <c r="C4" s="12" t="s">
        <v>58</v>
      </c>
      <c r="D4" s="10" t="s">
        <v>18</v>
      </c>
      <c r="E4" s="2"/>
      <c r="F4" s="2"/>
      <c r="G4" s="3">
        <v>7.5</v>
      </c>
      <c r="H4" s="3">
        <v>7.5</v>
      </c>
      <c r="I4" s="3">
        <v>7.5</v>
      </c>
      <c r="J4" s="3">
        <v>7.5</v>
      </c>
      <c r="K4" s="3">
        <v>7.5</v>
      </c>
      <c r="L4" s="4">
        <f>SUM(E4:K4)</f>
        <v>37.5</v>
      </c>
      <c r="M4" s="19"/>
      <c r="N4" s="19"/>
      <c r="O4" s="19"/>
      <c r="P4" s="19"/>
      <c r="Q4" s="19"/>
      <c r="R4" s="19"/>
      <c r="S4" s="19"/>
      <c r="T4" s="19"/>
      <c r="U4" s="19"/>
    </row>
    <row r="5" spans="1:21" x14ac:dyDescent="0.25">
      <c r="A5" s="10"/>
      <c r="B5" s="11"/>
      <c r="C5" s="12"/>
      <c r="D5" s="10"/>
      <c r="E5" s="2"/>
      <c r="F5" s="2"/>
      <c r="G5" s="3"/>
      <c r="H5" s="3"/>
      <c r="I5" s="3"/>
      <c r="J5" s="3"/>
      <c r="K5" s="3"/>
      <c r="L5" s="4">
        <f t="shared" ref="L5:L24" si="0">SUM(E5:K5)</f>
        <v>0</v>
      </c>
      <c r="M5" s="19"/>
      <c r="N5" s="19"/>
      <c r="O5" s="19"/>
      <c r="P5" s="19"/>
      <c r="Q5" s="19"/>
      <c r="R5" s="19"/>
      <c r="S5" s="19"/>
      <c r="T5" s="19"/>
      <c r="U5" s="19"/>
    </row>
    <row r="6" spans="1:21" x14ac:dyDescent="0.25">
      <c r="A6" s="10"/>
      <c r="B6" s="11"/>
      <c r="C6" s="12"/>
      <c r="D6" s="10"/>
      <c r="E6" s="2"/>
      <c r="F6" s="2"/>
      <c r="G6" s="3"/>
      <c r="H6" s="3"/>
      <c r="I6" s="3"/>
      <c r="J6" s="3"/>
      <c r="K6" s="3"/>
      <c r="L6" s="4">
        <f t="shared" si="0"/>
        <v>0</v>
      </c>
      <c r="M6" s="19"/>
      <c r="N6" s="19"/>
      <c r="O6" s="19"/>
      <c r="P6" s="19"/>
      <c r="Q6" s="19"/>
      <c r="R6" s="19"/>
      <c r="S6" s="19"/>
      <c r="T6" s="19"/>
      <c r="U6" s="19"/>
    </row>
    <row r="7" spans="1:21" x14ac:dyDescent="0.25">
      <c r="A7" s="10"/>
      <c r="B7" s="11"/>
      <c r="C7" s="12"/>
      <c r="D7" s="10"/>
      <c r="E7" s="2"/>
      <c r="F7" s="2"/>
      <c r="G7" s="3"/>
      <c r="H7" s="3"/>
      <c r="I7" s="3"/>
      <c r="J7" s="3"/>
      <c r="K7" s="3"/>
      <c r="L7" s="4">
        <f t="shared" si="0"/>
        <v>0</v>
      </c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0"/>
      <c r="B8" s="11"/>
      <c r="C8" s="12"/>
      <c r="D8" s="10"/>
      <c r="E8" s="2"/>
      <c r="F8" s="2"/>
      <c r="G8" s="3"/>
      <c r="H8" s="3"/>
      <c r="I8" s="3"/>
      <c r="J8" s="3"/>
      <c r="K8" s="3"/>
      <c r="L8" s="4">
        <f t="shared" si="0"/>
        <v>0</v>
      </c>
      <c r="M8" s="19"/>
      <c r="N8" s="19"/>
      <c r="O8" s="19"/>
      <c r="P8" s="19"/>
      <c r="Q8" s="19"/>
      <c r="R8" s="19"/>
      <c r="S8" s="19"/>
      <c r="T8" s="19"/>
      <c r="U8" s="19"/>
    </row>
    <row r="9" spans="1:21" x14ac:dyDescent="0.25">
      <c r="A9" s="10"/>
      <c r="B9" s="11"/>
      <c r="C9" s="12"/>
      <c r="D9" s="10"/>
      <c r="E9" s="2"/>
      <c r="F9" s="2"/>
      <c r="G9" s="3"/>
      <c r="H9" s="3"/>
      <c r="I9" s="3"/>
      <c r="J9" s="3"/>
      <c r="K9" s="3"/>
      <c r="L9" s="4">
        <f t="shared" si="0"/>
        <v>0</v>
      </c>
      <c r="M9" s="19"/>
      <c r="N9" s="19"/>
      <c r="O9" s="19"/>
      <c r="P9" s="19"/>
      <c r="Q9" s="19"/>
      <c r="R9" s="19"/>
      <c r="S9" s="19"/>
      <c r="T9" s="19"/>
      <c r="U9" s="19"/>
    </row>
    <row r="10" spans="1:21" x14ac:dyDescent="0.25">
      <c r="A10" s="10"/>
      <c r="B10" s="11"/>
      <c r="C10" s="12"/>
      <c r="D10" s="10"/>
      <c r="E10" s="2"/>
      <c r="F10" s="2"/>
      <c r="G10" s="3"/>
      <c r="H10" s="3"/>
      <c r="I10" s="3"/>
      <c r="J10" s="3"/>
      <c r="K10" s="3"/>
      <c r="L10" s="4">
        <f t="shared" si="0"/>
        <v>0</v>
      </c>
      <c r="M10" s="19"/>
      <c r="N10" s="19"/>
      <c r="O10" s="19"/>
      <c r="P10" s="19"/>
      <c r="Q10" s="19"/>
      <c r="R10" s="19"/>
      <c r="S10" s="19"/>
      <c r="T10" s="19"/>
      <c r="U10" s="19"/>
    </row>
    <row r="11" spans="1:21" x14ac:dyDescent="0.25">
      <c r="A11" s="10"/>
      <c r="B11" s="11"/>
      <c r="C11" s="12"/>
      <c r="D11" s="10"/>
      <c r="E11" s="2"/>
      <c r="F11" s="2"/>
      <c r="G11" s="3"/>
      <c r="H11" s="3"/>
      <c r="I11" s="3"/>
      <c r="J11" s="3"/>
      <c r="K11" s="3"/>
      <c r="L11" s="4">
        <f t="shared" si="0"/>
        <v>0</v>
      </c>
      <c r="M11" s="19"/>
      <c r="N11" s="19"/>
      <c r="O11" s="19"/>
      <c r="P11" s="19"/>
      <c r="Q11" s="19"/>
      <c r="R11" s="19"/>
      <c r="S11" s="19"/>
      <c r="T11" s="19"/>
      <c r="U11" s="19"/>
    </row>
    <row r="12" spans="1:21" x14ac:dyDescent="0.25">
      <c r="A12" s="10"/>
      <c r="B12" s="11"/>
      <c r="C12" s="12"/>
      <c r="D12" s="10"/>
      <c r="E12" s="2"/>
      <c r="F12" s="2"/>
      <c r="G12" s="3"/>
      <c r="H12" s="3"/>
      <c r="I12" s="3"/>
      <c r="J12" s="3"/>
      <c r="K12" s="3"/>
      <c r="L12" s="4">
        <f t="shared" si="0"/>
        <v>0</v>
      </c>
      <c r="M12" s="19"/>
      <c r="N12" s="19"/>
      <c r="O12" s="19"/>
      <c r="P12" s="19"/>
      <c r="Q12" s="19"/>
      <c r="R12" s="19"/>
      <c r="S12" s="19"/>
      <c r="T12" s="19"/>
      <c r="U12" s="19"/>
    </row>
    <row r="13" spans="1:21" x14ac:dyDescent="0.25">
      <c r="A13" s="10"/>
      <c r="B13" s="11"/>
      <c r="C13" s="12"/>
      <c r="D13" s="10"/>
      <c r="E13" s="2"/>
      <c r="F13" s="2"/>
      <c r="G13" s="3"/>
      <c r="H13" s="3"/>
      <c r="I13" s="3"/>
      <c r="J13" s="3"/>
      <c r="K13" s="3"/>
      <c r="L13" s="4">
        <f t="shared" si="0"/>
        <v>0</v>
      </c>
      <c r="M13" s="19"/>
      <c r="N13" s="19"/>
      <c r="O13" s="19"/>
      <c r="P13" s="19"/>
      <c r="Q13" s="19"/>
      <c r="R13" s="19"/>
      <c r="S13" s="19"/>
      <c r="T13" s="19"/>
      <c r="U13" s="19"/>
    </row>
    <row r="14" spans="1:21" x14ac:dyDescent="0.25">
      <c r="A14" s="10"/>
      <c r="B14" s="11"/>
      <c r="C14" s="12"/>
      <c r="D14" s="10"/>
      <c r="E14" s="2"/>
      <c r="F14" s="2"/>
      <c r="G14" s="3"/>
      <c r="H14" s="3"/>
      <c r="I14" s="3"/>
      <c r="J14" s="3"/>
      <c r="K14" s="3"/>
      <c r="L14" s="4">
        <f t="shared" si="0"/>
        <v>0</v>
      </c>
      <c r="M14" s="19"/>
      <c r="N14" s="19"/>
      <c r="O14" s="19"/>
      <c r="P14" s="19"/>
      <c r="Q14" s="19"/>
      <c r="R14" s="19"/>
      <c r="S14" s="19"/>
      <c r="T14" s="19"/>
      <c r="U14" s="19"/>
    </row>
    <row r="15" spans="1:21" x14ac:dyDescent="0.25">
      <c r="A15" s="10"/>
      <c r="B15" s="11"/>
      <c r="C15" s="12"/>
      <c r="D15" s="10"/>
      <c r="E15" s="2"/>
      <c r="F15" s="2"/>
      <c r="G15" s="3"/>
      <c r="H15" s="3"/>
      <c r="I15" s="3"/>
      <c r="J15" s="3"/>
      <c r="K15" s="3"/>
      <c r="L15" s="4">
        <f t="shared" si="0"/>
        <v>0</v>
      </c>
      <c r="M15" s="19"/>
      <c r="N15" s="19"/>
      <c r="O15" s="19"/>
      <c r="P15" s="19"/>
      <c r="Q15" s="19"/>
      <c r="R15" s="19"/>
      <c r="S15" s="19"/>
      <c r="T15" s="19"/>
      <c r="U15" s="19"/>
    </row>
    <row r="16" spans="1:21" x14ac:dyDescent="0.25">
      <c r="A16" s="10"/>
      <c r="B16" s="11"/>
      <c r="C16" s="12"/>
      <c r="D16" s="10"/>
      <c r="E16" s="2"/>
      <c r="F16" s="2"/>
      <c r="G16" s="3"/>
      <c r="H16" s="3"/>
      <c r="I16" s="3"/>
      <c r="J16" s="3"/>
      <c r="K16" s="3"/>
      <c r="L16" s="4">
        <f t="shared" si="0"/>
        <v>0</v>
      </c>
      <c r="M16" s="19"/>
      <c r="N16" s="19"/>
      <c r="O16" s="19"/>
      <c r="P16" s="19"/>
      <c r="Q16" s="19"/>
      <c r="R16" s="19"/>
      <c r="S16" s="19"/>
      <c r="T16" s="19"/>
      <c r="U16" s="19"/>
    </row>
    <row r="17" spans="1:21" x14ac:dyDescent="0.25">
      <c r="A17" s="10"/>
      <c r="B17" s="11"/>
      <c r="C17" s="12"/>
      <c r="D17" s="10"/>
      <c r="E17" s="2"/>
      <c r="F17" s="2"/>
      <c r="G17" s="3"/>
      <c r="H17" s="3"/>
      <c r="I17" s="3"/>
      <c r="J17" s="3"/>
      <c r="K17" s="3"/>
      <c r="L17" s="4">
        <f t="shared" si="0"/>
        <v>0</v>
      </c>
      <c r="M17" s="19"/>
      <c r="N17" s="19"/>
      <c r="O17" s="19"/>
      <c r="P17" s="19"/>
      <c r="Q17" s="19"/>
      <c r="R17" s="19"/>
      <c r="S17" s="19"/>
      <c r="T17" s="19"/>
      <c r="U17" s="19"/>
    </row>
    <row r="18" spans="1:21" x14ac:dyDescent="0.25">
      <c r="A18" s="10"/>
      <c r="B18" s="11"/>
      <c r="C18" s="12"/>
      <c r="D18" s="10"/>
      <c r="E18" s="2"/>
      <c r="F18" s="2"/>
      <c r="G18" s="3"/>
      <c r="H18" s="3"/>
      <c r="I18" s="3"/>
      <c r="J18" s="3"/>
      <c r="K18" s="3"/>
      <c r="L18" s="4">
        <f t="shared" si="0"/>
        <v>0</v>
      </c>
      <c r="M18" s="19"/>
      <c r="N18" s="19"/>
      <c r="O18" s="19"/>
      <c r="P18" s="19"/>
      <c r="Q18" s="19"/>
      <c r="R18" s="19"/>
      <c r="S18" s="19"/>
      <c r="T18" s="19"/>
      <c r="U18" s="19"/>
    </row>
    <row r="19" spans="1:21" x14ac:dyDescent="0.25">
      <c r="A19" s="10"/>
      <c r="B19" s="11"/>
      <c r="C19" s="12"/>
      <c r="D19" s="10"/>
      <c r="E19" s="2"/>
      <c r="F19" s="2"/>
      <c r="G19" s="3"/>
      <c r="H19" s="3"/>
      <c r="I19" s="3"/>
      <c r="J19" s="3"/>
      <c r="K19" s="3"/>
      <c r="L19" s="4">
        <f t="shared" si="0"/>
        <v>0</v>
      </c>
      <c r="M19" s="19"/>
      <c r="N19" s="19"/>
      <c r="O19" s="19"/>
      <c r="P19" s="19"/>
      <c r="Q19" s="19"/>
      <c r="R19" s="19"/>
      <c r="S19" s="19"/>
      <c r="T19" s="19"/>
      <c r="U19" s="19"/>
    </row>
    <row r="20" spans="1:21" x14ac:dyDescent="0.25">
      <c r="A20" s="10"/>
      <c r="B20" s="11"/>
      <c r="C20" s="12"/>
      <c r="D20" s="10"/>
      <c r="E20" s="2"/>
      <c r="F20" s="2"/>
      <c r="G20" s="3"/>
      <c r="H20" s="3"/>
      <c r="I20" s="3"/>
      <c r="J20" s="3"/>
      <c r="K20" s="3"/>
      <c r="L20" s="4">
        <f t="shared" si="0"/>
        <v>0</v>
      </c>
      <c r="M20" s="19"/>
      <c r="N20" s="19"/>
      <c r="O20" s="19"/>
      <c r="P20" s="19"/>
      <c r="Q20" s="19"/>
      <c r="R20" s="19"/>
      <c r="S20" s="19"/>
      <c r="T20" s="19"/>
      <c r="U20" s="19"/>
    </row>
    <row r="21" spans="1:21" x14ac:dyDescent="0.25">
      <c r="A21" s="10"/>
      <c r="B21" s="11"/>
      <c r="C21" s="12"/>
      <c r="D21" s="10"/>
      <c r="E21" s="2"/>
      <c r="F21" s="2"/>
      <c r="G21" s="3"/>
      <c r="H21" s="3"/>
      <c r="I21" s="3"/>
      <c r="J21" s="3"/>
      <c r="K21" s="3"/>
      <c r="L21" s="4">
        <f t="shared" si="0"/>
        <v>0</v>
      </c>
      <c r="M21" s="19"/>
      <c r="N21" s="19"/>
      <c r="O21" s="19"/>
      <c r="P21" s="19"/>
      <c r="Q21" s="19"/>
      <c r="R21" s="19"/>
      <c r="S21" s="19"/>
      <c r="T21" s="19"/>
      <c r="U21" s="19"/>
    </row>
    <row r="22" spans="1:21" x14ac:dyDescent="0.25">
      <c r="A22" s="10"/>
      <c r="B22" s="11"/>
      <c r="C22" s="12"/>
      <c r="D22" s="10"/>
      <c r="E22" s="2"/>
      <c r="F22" s="2"/>
      <c r="G22" s="3"/>
      <c r="H22" s="3"/>
      <c r="I22" s="3"/>
      <c r="J22" s="3"/>
      <c r="K22" s="3"/>
      <c r="L22" s="4">
        <f t="shared" si="0"/>
        <v>0</v>
      </c>
      <c r="M22" s="19"/>
      <c r="N22" s="19"/>
      <c r="O22" s="19"/>
      <c r="P22" s="19"/>
      <c r="Q22" s="19"/>
      <c r="R22" s="19"/>
      <c r="S22" s="19"/>
      <c r="T22" s="19"/>
      <c r="U22" s="19"/>
    </row>
    <row r="23" spans="1:21" x14ac:dyDescent="0.25">
      <c r="A23" s="10"/>
      <c r="B23" s="11"/>
      <c r="C23" s="12"/>
      <c r="D23" s="10"/>
      <c r="E23" s="2"/>
      <c r="F23" s="2"/>
      <c r="G23" s="3"/>
      <c r="H23" s="3"/>
      <c r="I23" s="3"/>
      <c r="J23" s="3"/>
      <c r="K23" s="3"/>
      <c r="L23" s="4">
        <f t="shared" si="0"/>
        <v>0</v>
      </c>
      <c r="M23" s="19"/>
      <c r="N23" s="19"/>
      <c r="O23" s="19"/>
      <c r="P23" s="19"/>
      <c r="Q23" s="19"/>
      <c r="R23" s="19"/>
      <c r="S23" s="19"/>
      <c r="T23" s="19"/>
      <c r="U23" s="19"/>
    </row>
    <row r="24" spans="1:21" x14ac:dyDescent="0.25">
      <c r="A24" s="19"/>
      <c r="B24" s="19"/>
      <c r="C24" s="19"/>
      <c r="D24" s="19"/>
      <c r="E24" s="18">
        <f t="shared" ref="E24:K24" si="1">SUM(E4:E23)</f>
        <v>0</v>
      </c>
      <c r="F24" s="18">
        <f t="shared" si="1"/>
        <v>0</v>
      </c>
      <c r="G24" s="18">
        <f t="shared" si="1"/>
        <v>7.5</v>
      </c>
      <c r="H24" s="18">
        <f t="shared" si="1"/>
        <v>7.5</v>
      </c>
      <c r="I24" s="18">
        <f t="shared" si="1"/>
        <v>7.5</v>
      </c>
      <c r="J24" s="18">
        <f t="shared" si="1"/>
        <v>7.5</v>
      </c>
      <c r="K24" s="18">
        <f t="shared" si="1"/>
        <v>7.5</v>
      </c>
      <c r="L24" s="5">
        <f t="shared" si="0"/>
        <v>37.5</v>
      </c>
      <c r="M24" s="19"/>
      <c r="N24" s="19"/>
      <c r="O24" s="19"/>
      <c r="P24" s="19"/>
      <c r="Q24" s="19"/>
      <c r="R24" s="19"/>
      <c r="S24" s="19"/>
      <c r="T24" s="19"/>
      <c r="U24" s="19"/>
    </row>
    <row r="25" spans="1:21" x14ac:dyDescent="0.25">
      <c r="A25" s="19"/>
      <c r="B25" s="19"/>
      <c r="C25" s="19"/>
      <c r="D25" s="9" t="s">
        <v>21</v>
      </c>
      <c r="E25" s="9" t="str">
        <f>IF(E24&gt;7.5,"Overtimed",IF(E24&lt;7.5,"Undertimed",IF(E24=7.5,"Well-done",)))</f>
        <v>Undertimed</v>
      </c>
      <c r="F25" s="9" t="str">
        <f t="shared" ref="F25:K25" si="2">IF(F24&gt;7.5,"Overtimed",IF(F24&lt;7.5,"Undertimed",IF(F24=7.5,"Well-done",)))</f>
        <v>Undertimed</v>
      </c>
      <c r="G25" s="9" t="str">
        <f t="shared" si="2"/>
        <v>Well-done</v>
      </c>
      <c r="H25" s="9" t="str">
        <f t="shared" si="2"/>
        <v>Well-done</v>
      </c>
      <c r="I25" s="9" t="str">
        <f t="shared" si="2"/>
        <v>Well-done</v>
      </c>
      <c r="J25" s="9" t="str">
        <f t="shared" si="2"/>
        <v>Well-done</v>
      </c>
      <c r="K25" s="9" t="str">
        <f t="shared" si="2"/>
        <v>Well-done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21" x14ac:dyDescent="0.25">
      <c r="A26" s="19"/>
      <c r="B26" s="19"/>
      <c r="C26" s="19"/>
      <c r="D26" s="19"/>
      <c r="E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21" ht="15.75" thickBot="1" x14ac:dyDescent="0.3">
      <c r="A27" s="14" t="s">
        <v>7</v>
      </c>
      <c r="B27" s="17">
        <f>L24</f>
        <v>37.5</v>
      </c>
      <c r="C27" s="37" t="str">
        <f>IF(B27&gt;37.5,"please Specify the reason behind your overtime",IF(B27&lt;37.5,"Please Specify the reason behind this down below",IF(B27=37.5,"Great Job! Enjoy your weekend",)))</f>
        <v>Great Job! Enjoy your weekend</v>
      </c>
      <c r="D27" s="38"/>
      <c r="E27" s="3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21" ht="15.75" thickBot="1" x14ac:dyDescent="0.3">
      <c r="A28" s="15" t="s">
        <v>14</v>
      </c>
      <c r="C28" s="16" t="s">
        <v>15</v>
      </c>
      <c r="D28" s="21" t="s">
        <v>24</v>
      </c>
      <c r="E28" s="22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21" x14ac:dyDescent="0.25">
      <c r="A29" s="23" t="s">
        <v>16</v>
      </c>
      <c r="B29" s="24"/>
      <c r="C29" s="24"/>
      <c r="D29" s="24"/>
      <c r="E29" s="24"/>
      <c r="F29" s="24"/>
      <c r="G29" s="25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21" x14ac:dyDescent="0.25">
      <c r="A30" s="26"/>
      <c r="B30" s="27"/>
      <c r="C30" s="27"/>
      <c r="D30" s="27"/>
      <c r="E30" s="27"/>
      <c r="F30" s="27"/>
      <c r="G30" s="28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21" x14ac:dyDescent="0.25">
      <c r="A31" s="26"/>
      <c r="B31" s="27"/>
      <c r="C31" s="27"/>
      <c r="D31" s="27"/>
      <c r="E31" s="27"/>
      <c r="F31" s="27"/>
      <c r="G31" s="28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21" ht="15.75" thickBot="1" x14ac:dyDescent="0.3">
      <c r="A32" s="29"/>
      <c r="B32" s="30"/>
      <c r="C32" s="30"/>
      <c r="D32" s="30"/>
      <c r="E32" s="30"/>
      <c r="F32" s="30"/>
      <c r="G32" s="31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1:21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1:21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1:21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1:21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1:21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42" spans="1:21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8" spans="1:21" x14ac:dyDescent="0.25">
      <c r="C48" s="41"/>
    </row>
  </sheetData>
  <mergeCells count="7">
    <mergeCell ref="D28:E28"/>
    <mergeCell ref="A29:G32"/>
    <mergeCell ref="B1:D1"/>
    <mergeCell ref="F2:H2"/>
    <mergeCell ref="I2:K2"/>
    <mergeCell ref="F1:K1"/>
    <mergeCell ref="C27:E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5</xdr:col>
                    <xdr:colOff>19050</xdr:colOff>
                    <xdr:row>25</xdr:row>
                    <xdr:rowOff>28575</xdr:rowOff>
                  </from>
                  <to>
                    <xdr:col>7</xdr:col>
                    <xdr:colOff>0</xdr:colOff>
                    <xdr:row>27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Invalid Entry!" error="Select a manager from the list, if not, Please send an email to:" promptTitle="Your Manger" prompt="Select a manager to report to" xr:uid="{00000000-0002-0000-0000-000000000000}">
          <x14:formula1>
            <xm:f>WorkItem_Tasks!$C$2:$C$13</xm:f>
          </x14:formula1>
          <xm:sqref>D28:E28</xm:sqref>
        </x14:dataValidation>
        <x14:dataValidation type="list" allowBlank="1" showInputMessage="1" showErrorMessage="1" promptTitle="Application/Project" prompt="Indentify the project/ app you been working on" xr:uid="{00000000-0002-0000-0000-000004000000}">
          <x14:formula1>
            <xm:f>WorkItem_Tasks!$A$2:$A$3</xm:f>
          </x14:formula1>
          <xm:sqref>D5:D23</xm:sqref>
        </x14:dataValidation>
        <x14:dataValidation type="list" allowBlank="1" showInputMessage="1" showErrorMessage="1" promptTitle="Application/Project" prompt="Indentify the project/ app you been working on" xr:uid="{00000000-0002-0000-0000-000007000000}">
          <x14:formula1>
            <xm:f>WorkItem_Tasks!$A$2:$A$39</xm:f>
          </x14:formula1>
          <xm:sqref>D4</xm:sqref>
        </x14:dataValidation>
        <x14:dataValidation type="list" allowBlank="1" showInputMessage="1" showErrorMessage="1" promptTitle="Your Team" prompt="Please Choose a team" xr:uid="{00000000-0002-0000-0000-000001000000}">
          <x14:formula1>
            <xm:f>WorkItem_Tasks!#REF!</xm:f>
          </x14:formula1>
          <xm:sqref>A5:A23</xm:sqref>
        </x14:dataValidation>
        <x14:dataValidation type="list" allowBlank="1" showInputMessage="1" showErrorMessage="1" promptTitle="Activity" prompt="Please Choose an activity" xr:uid="{00000000-0002-0000-0000-000002000000}">
          <x14:formula1>
            <xm:f>WorkItem_Tasks!#REF!</xm:f>
          </x14:formula1>
          <xm:sqref>B5:B23</xm:sqref>
        </x14:dataValidation>
        <x14:dataValidation type="list" allowBlank="1" showInputMessage="1" showErrorMessage="1" promptTitle="Sub-activity" prompt="Please Choose a sub-activity" xr:uid="{00000000-0002-0000-0000-000003000000}">
          <x14:formula1>
            <xm:f>WorkItem_Tasks!#REF!</xm:f>
          </x14:formula1>
          <xm:sqref>C5:C23</xm:sqref>
        </x14:dataValidation>
        <x14:dataValidation type="list" allowBlank="1" showInputMessage="1" showErrorMessage="1" promptTitle="Sub-activity" prompt="Please Choose a sub-activity" xr:uid="{00000000-0002-0000-0000-000005000000}">
          <x14:formula1>
            <xm:f>OFFSET(WorkItem_Tasks!$E$16,MATCH($B4,WorkItem_Tasks!$E$16:$E$24,0)-1,1,1,COUNTA(OFFSET(WorkItem_Tasks!$E$16,MATCH($B4,WorkItem_Tasks!$E$16:$E$24,0)-1,1,1,15)))</xm:f>
          </x14:formula1>
          <xm:sqref>C4</xm:sqref>
        </x14:dataValidation>
        <x14:dataValidation type="list" allowBlank="1" showInputMessage="1" showErrorMessage="1" xr:uid="{B19E2E55-82F1-4AE3-9BAF-6941DFDC135F}">
          <x14:formula1>
            <xm:f>WorkItem_Tasks!$F$1:$M$1</xm:f>
          </x14:formula1>
          <xm:sqref>A4</xm:sqref>
        </x14:dataValidation>
        <x14:dataValidation type="list" allowBlank="1" showInputMessage="1" showErrorMessage="1" promptTitle="Select your Activity" xr:uid="{4CA36F4A-F468-43CE-94CD-6520A0167249}">
          <x14:formula1>
            <xm:f>OFFSET(WorkItem_Tasks!$F$1,1,MATCH($A4,WorkItem_Tasks!$F$1:$M$1,0)-1,COUNTA(OFFSET(WorkItem_Tasks!$F$1,1,MATCH($A4,WorkItem_Tasks!$F$1:$M$1,0)-1,30,1)),1)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1"/>
  <sheetViews>
    <sheetView workbookViewId="0">
      <selection activeCell="E6" sqref="E6:K12"/>
    </sheetView>
  </sheetViews>
  <sheetFormatPr defaultRowHeight="15" x14ac:dyDescent="0.25"/>
  <cols>
    <col min="1" max="1" width="24" bestFit="1" customWidth="1"/>
    <col min="3" max="3" width="11.42578125" bestFit="1" customWidth="1"/>
    <col min="5" max="5" width="11.28515625" bestFit="1" customWidth="1"/>
    <col min="6" max="8" width="13.5703125" bestFit="1" customWidth="1"/>
    <col min="9" max="13" width="12.7109375" customWidth="1"/>
  </cols>
  <sheetData>
    <row r="1" spans="1:13" x14ac:dyDescent="0.25">
      <c r="A1" s="13" t="s">
        <v>19</v>
      </c>
      <c r="C1" s="13" t="s">
        <v>23</v>
      </c>
      <c r="E1" s="13" t="s">
        <v>35</v>
      </c>
      <c r="F1" s="40" t="s">
        <v>36</v>
      </c>
      <c r="G1" s="40" t="s">
        <v>37</v>
      </c>
      <c r="H1" s="40" t="s">
        <v>38</v>
      </c>
      <c r="I1" s="40" t="s">
        <v>39</v>
      </c>
      <c r="J1" s="40" t="s">
        <v>40</v>
      </c>
      <c r="K1" s="40" t="s">
        <v>41</v>
      </c>
      <c r="L1" s="40" t="s">
        <v>42</v>
      </c>
      <c r="M1" s="40" t="s">
        <v>43</v>
      </c>
    </row>
    <row r="2" spans="1:13" x14ac:dyDescent="0.25">
      <c r="A2" t="s">
        <v>18</v>
      </c>
      <c r="C2" t="s">
        <v>22</v>
      </c>
      <c r="E2" s="13" t="s">
        <v>20</v>
      </c>
      <c r="F2" t="s">
        <v>45</v>
      </c>
      <c r="G2" t="s">
        <v>46</v>
      </c>
      <c r="H2" t="s">
        <v>47</v>
      </c>
      <c r="I2" t="s">
        <v>46</v>
      </c>
      <c r="J2" t="s">
        <v>48</v>
      </c>
      <c r="K2" t="s">
        <v>46</v>
      </c>
      <c r="L2" t="s">
        <v>49</v>
      </c>
      <c r="M2" t="s">
        <v>49</v>
      </c>
    </row>
    <row r="3" spans="1:13" x14ac:dyDescent="0.25">
      <c r="A3" t="s">
        <v>17</v>
      </c>
      <c r="C3" t="s">
        <v>24</v>
      </c>
      <c r="F3" t="s">
        <v>50</v>
      </c>
      <c r="G3" t="s">
        <v>45</v>
      </c>
      <c r="H3" t="s">
        <v>51</v>
      </c>
      <c r="I3" t="s">
        <v>47</v>
      </c>
      <c r="J3" t="s">
        <v>52</v>
      </c>
      <c r="K3" t="s">
        <v>50</v>
      </c>
      <c r="L3" t="s">
        <v>52</v>
      </c>
      <c r="M3" t="s">
        <v>50</v>
      </c>
    </row>
    <row r="4" spans="1:13" x14ac:dyDescent="0.25">
      <c r="C4" t="s">
        <v>25</v>
      </c>
      <c r="F4" t="s">
        <v>53</v>
      </c>
      <c r="J4" t="s">
        <v>49</v>
      </c>
      <c r="K4" t="s">
        <v>48</v>
      </c>
      <c r="M4" t="s">
        <v>45</v>
      </c>
    </row>
    <row r="5" spans="1:13" x14ac:dyDescent="0.25">
      <c r="C5" t="s">
        <v>26</v>
      </c>
    </row>
    <row r="6" spans="1:13" x14ac:dyDescent="0.25">
      <c r="C6" t="s">
        <v>27</v>
      </c>
    </row>
    <row r="7" spans="1:13" x14ac:dyDescent="0.25">
      <c r="C7" t="s">
        <v>28</v>
      </c>
    </row>
    <row r="8" spans="1:13" x14ac:dyDescent="0.25">
      <c r="C8" t="s">
        <v>29</v>
      </c>
    </row>
    <row r="9" spans="1:13" x14ac:dyDescent="0.25">
      <c r="C9" t="s">
        <v>30</v>
      </c>
    </row>
    <row r="10" spans="1:13" x14ac:dyDescent="0.25">
      <c r="C10" t="s">
        <v>31</v>
      </c>
    </row>
    <row r="11" spans="1:13" x14ac:dyDescent="0.25">
      <c r="C11" t="s">
        <v>32</v>
      </c>
    </row>
    <row r="12" spans="1:13" x14ac:dyDescent="0.25">
      <c r="C12" t="s">
        <v>33</v>
      </c>
    </row>
    <row r="13" spans="1:13" x14ac:dyDescent="0.25">
      <c r="C13" t="s">
        <v>34</v>
      </c>
    </row>
    <row r="15" spans="1:13" x14ac:dyDescent="0.25">
      <c r="F15" s="42" t="s">
        <v>11</v>
      </c>
      <c r="G15" s="42"/>
      <c r="H15" s="42"/>
    </row>
    <row r="16" spans="1:13" x14ac:dyDescent="0.25">
      <c r="E16" s="43" t="str">
        <f t="array" aca="1" ref="E16" ca="1">_xlfn._xlws.SORT(INDIRECT(TEXT(MIN(IF(($F$2:$M$4&lt;&gt;"")*(COUNTIF($E$15:E15,$F$2:$M$4)=0),ROW($2:$4)*100+COLUMN($F:$M),7^8)),"R0C00"),)&amp;"")</f>
        <v>Activity - 10</v>
      </c>
      <c r="F16" t="s">
        <v>54</v>
      </c>
      <c r="G16" t="s">
        <v>55</v>
      </c>
      <c r="H16" t="s">
        <v>56</v>
      </c>
    </row>
    <row r="17" spans="5:8" x14ac:dyDescent="0.25">
      <c r="E17" s="43" t="str">
        <f t="array" aca="1" ref="E17" ca="1">_xlfn._xlws.SORT(INDIRECT(TEXT(MIN(IF(($F$2:$M$4&lt;&gt;"")*(COUNTIF($E$15:E16,$F$2:$M$4)=0),ROW($2:$4)*100+COLUMN($F:$M),7^8)),"R0C00"),)&amp;"")</f>
        <v>Activity - 6</v>
      </c>
      <c r="F17" t="s">
        <v>57</v>
      </c>
      <c r="G17" t="s">
        <v>58</v>
      </c>
      <c r="H17" t="s">
        <v>59</v>
      </c>
    </row>
    <row r="18" spans="5:8" x14ac:dyDescent="0.25">
      <c r="E18" s="43" t="str">
        <f t="array" aca="1" ref="E18" ca="1">_xlfn._xlws.SORT(INDIRECT(TEXT(MIN(IF(($F$2:$M$4&lt;&gt;"")*(COUNTIF($E$15:E17,$F$2:$M$4)=0),ROW($2:$4)*100+COLUMN($F:$M),7^8)),"R0C00"),)&amp;"")</f>
        <v>Activity - 2</v>
      </c>
      <c r="F18" t="s">
        <v>59</v>
      </c>
      <c r="G18" t="s">
        <v>54</v>
      </c>
    </row>
    <row r="19" spans="5:8" x14ac:dyDescent="0.25">
      <c r="E19" s="43" t="str">
        <f t="array" aca="1" ref="E19" ca="1">_xlfn._xlws.SORT(INDIRECT(TEXT(MIN(IF(($F$2:$M$4&lt;&gt;"")*(COUNTIF($E$15:E18,$F$2:$M$4)=0),ROW($2:$4)*100+COLUMN($F:$M),7^8)),"R0C00"),)&amp;"")</f>
        <v>Activity - 7</v>
      </c>
      <c r="F19" t="s">
        <v>58</v>
      </c>
      <c r="G19" t="s">
        <v>55</v>
      </c>
    </row>
    <row r="20" spans="5:8" x14ac:dyDescent="0.25">
      <c r="E20" s="43" t="str">
        <f t="array" aca="1" ref="E20" ca="1">_xlfn._xlws.SORT(INDIRECT(TEXT(MIN(IF(($F$2:$M$4&lt;&gt;"")*(COUNTIF($E$15:E19,$F$2:$M$4)=0),ROW($2:$4)*100+COLUMN($F:$M),7^8)),"R0C00"),)&amp;"")</f>
        <v>Activity - 1</v>
      </c>
      <c r="F20" t="s">
        <v>60</v>
      </c>
      <c r="G20" t="s">
        <v>61</v>
      </c>
      <c r="H20" t="s">
        <v>58</v>
      </c>
    </row>
    <row r="21" spans="5:8" x14ac:dyDescent="0.25">
      <c r="E21" s="43" t="str">
        <f t="array" aca="1" ref="E21" ca="1">_xlfn._xlws.SORT(INDIRECT(TEXT(MIN(IF(($F$2:$M$4&lt;&gt;"")*(COUNTIF($E$15:E20,$F$2:$M$4)=0),ROW($2:$4)*100+COLUMN($F:$M),7^8)),"R0C00"),)&amp;"")</f>
        <v>Activity - 3</v>
      </c>
      <c r="F21" t="s">
        <v>44</v>
      </c>
    </row>
    <row r="22" spans="5:8" x14ac:dyDescent="0.25">
      <c r="E22" s="43" t="str">
        <f t="array" aca="1" ref="E22" ca="1">_xlfn._xlws.SORT(INDIRECT(TEXT(MIN(IF(($F$2:$M$4&lt;&gt;"")*(COUNTIF($E$15:E21,$F$2:$M$4)=0),ROW($2:$4)*100+COLUMN($F:$M),7^8)),"R0C00"),)&amp;"")</f>
        <v>Activity - 4</v>
      </c>
      <c r="F22" t="s">
        <v>56</v>
      </c>
      <c r="G22" t="s">
        <v>57</v>
      </c>
    </row>
    <row r="23" spans="5:8" x14ac:dyDescent="0.25">
      <c r="E23" s="43" t="str">
        <f t="array" aca="1" ref="E23" ca="1">_xlfn._xlws.SORT(INDIRECT(TEXT(MIN(IF(($F$2:$M$4&lt;&gt;"")*(COUNTIF($E$15:E22,$F$2:$M$4)=0),ROW($2:$4)*100+COLUMN($F:$M),7^8)),"R0C00"),)&amp;"")</f>
        <v>Activity - 8</v>
      </c>
      <c r="F23" t="s">
        <v>57</v>
      </c>
      <c r="G23" t="s">
        <v>61</v>
      </c>
      <c r="H23" t="s">
        <v>60</v>
      </c>
    </row>
    <row r="24" spans="5:8" x14ac:dyDescent="0.25">
      <c r="E24" s="43" t="str">
        <f t="array" aca="1" ref="E24" ca="1">_xlfn._xlws.SORT(INDIRECT(TEXT(MIN(IF(($F$2:$M$4&lt;&gt;"")*(COUNTIF($E$15:E23,$F$2:$M$4)=0),ROW($2:$4)*100+COLUMN($F:$M),7^8)),"R0C00"),)&amp;"")</f>
        <v>Activity - 5</v>
      </c>
      <c r="F24" t="s">
        <v>56</v>
      </c>
    </row>
    <row r="25" spans="5:8" x14ac:dyDescent="0.25">
      <c r="E25" t="str">
        <f t="array" aca="1" ref="E25" ca="1">_xlfn._xlws.SORT(INDIRECT(TEXT(MIN(IF(($F$2:$M$4&lt;&gt;"")*(COUNTIF($E$15:E24,$F$2:$M$4)=0),ROW($2:$4)*100+COLUMN($F:$M),7^8)),"R0C00"),)&amp;"")</f>
        <v/>
      </c>
    </row>
    <row r="26" spans="5:8" x14ac:dyDescent="0.25">
      <c r="E26" t="str">
        <f t="array" aca="1" ref="E26" ca="1">_xlfn._xlws.SORT(INDIRECT(TEXT(MIN(IF(($F$2:$M$4&lt;&gt;"")*(COUNTIF($E$15:E25,$F$2:$M$4)=0),ROW($2:$4)*100+COLUMN($F:$M),7^8)),"R0C00"),)&amp;"")</f>
        <v/>
      </c>
    </row>
    <row r="27" spans="5:8" x14ac:dyDescent="0.25">
      <c r="E27" t="str">
        <f t="array" aca="1" ref="E27" ca="1">_xlfn._xlws.SORT(INDIRECT(TEXT(MIN(IF(($F$2:$M$4&lt;&gt;"")*(COUNTIF($E$15:E26,$F$2:$M$4)=0),ROW($2:$4)*100+COLUMN($F:$M),7^8)),"R0C00"),)&amp;"")</f>
        <v/>
      </c>
    </row>
    <row r="28" spans="5:8" x14ac:dyDescent="0.25">
      <c r="E28" t="str">
        <f t="array" aca="1" ref="E28" ca="1">_xlfn._xlws.SORT(INDIRECT(TEXT(MIN(IF(($F$2:$M$4&lt;&gt;"")*(COUNTIF($E$15:E27,$F$2:$M$4)=0),ROW($2:$4)*100+COLUMN($F:$M),7^8)),"R0C00"),)&amp;"")</f>
        <v/>
      </c>
    </row>
    <row r="29" spans="5:8" x14ac:dyDescent="0.25">
      <c r="E29" t="str">
        <f t="array" aca="1" ref="E29" ca="1">_xlfn._xlws.SORT(INDIRECT(TEXT(MIN(IF(($F$2:$M$4&lt;&gt;"")*(COUNTIF($E$15:E28,$F$2:$M$4)=0),ROW($2:$4)*100+COLUMN($F:$M),7^8)),"R0C00"),)&amp;"")</f>
        <v/>
      </c>
    </row>
    <row r="30" spans="5:8" x14ac:dyDescent="0.25">
      <c r="E30" t="str">
        <f t="array" aca="1" ref="E30" ca="1">_xlfn._xlws.SORT(INDIRECT(TEXT(MIN(IF(($F$2:$M$4&lt;&gt;"")*(COUNTIF($E$15:E29,$F$2:$M$4)=0),ROW($2:$4)*100+COLUMN($F:$M),7^8)),"R0C00"),)&amp;"")</f>
        <v/>
      </c>
    </row>
    <row r="31" spans="5:8" x14ac:dyDescent="0.25">
      <c r="E31" t="str">
        <f t="array" aca="1" ref="E31" ca="1">_xlfn._xlws.SORT(INDIRECT(TEXT(MIN(IF(($F$2:$M$4&lt;&gt;"")*(COUNTIF($E$15:E30,$F$2:$M$4)=0),ROW($2:$4)*100+COLUMN($F:$M),7^8)),"R0C00"),)&amp;"")</f>
        <v/>
      </c>
    </row>
  </sheetData>
  <mergeCells count="1">
    <mergeCell ref="F15:H1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MyRRS</vt:lpstr>
      <vt:lpstr>WorkItem_Tasks</vt:lpstr>
    </vt:vector>
  </TitlesOfParts>
  <Company>CSC-SCC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Hammad Hussam (NHQ-AC)</dc:creator>
  <cp:lastModifiedBy>Owner</cp:lastModifiedBy>
  <dcterms:created xsi:type="dcterms:W3CDTF">2018-02-19T16:38:02Z</dcterms:created>
  <dcterms:modified xsi:type="dcterms:W3CDTF">2020-09-30T22:11:38Z</dcterms:modified>
</cp:coreProperties>
</file>